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ha\Documents\Projects\Cricket_Manager\src\data\players\processed\"/>
    </mc:Choice>
  </mc:AlternateContent>
  <xr:revisionPtr revIDLastSave="0" documentId="13_ncr:1_{A0675858-834B-442F-9288-8C7226C8BF05}" xr6:coauthVersionLast="47" xr6:coauthVersionMax="47" xr10:uidLastSave="{00000000-0000-0000-0000-000000000000}"/>
  <bookViews>
    <workbookView xWindow="-108" yWindow="-108" windowWidth="23256" windowHeight="12456" xr2:uid="{04A22A66-6530-4077-BBB2-9648FF04BD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2" l="1"/>
  <c r="L3" i="2"/>
  <c r="L4" i="2"/>
  <c r="L5" i="2"/>
  <c r="L6" i="2"/>
  <c r="L7" i="2"/>
  <c r="L8" i="2"/>
  <c r="L9" i="2"/>
  <c r="L2" i="2"/>
  <c r="B10" i="2"/>
  <c r="C10" i="2"/>
  <c r="D10" i="2"/>
  <c r="E10" i="2"/>
  <c r="F10" i="2"/>
  <c r="G10" i="2"/>
  <c r="H10" i="2"/>
  <c r="I10" i="2"/>
  <c r="J10" i="2"/>
  <c r="R15" i="1"/>
  <c r="R14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6" i="1"/>
  <c r="R7" i="1"/>
  <c r="R8" i="1"/>
  <c r="R9" i="1"/>
  <c r="R10" i="1"/>
  <c r="R11" i="1"/>
  <c r="R12" i="1"/>
  <c r="R13" i="1"/>
  <c r="R16" i="1"/>
  <c r="R17" i="1"/>
  <c r="B18" i="1"/>
  <c r="R5" i="1"/>
  <c r="R4" i="1"/>
  <c r="R3" i="1"/>
  <c r="R2" i="1"/>
  <c r="L10" i="2" l="1"/>
  <c r="R18" i="1"/>
</calcChain>
</file>

<file path=xl/sharedStrings.xml><?xml version="1.0" encoding="utf-8"?>
<sst xmlns="http://schemas.openxmlformats.org/spreadsheetml/2006/main" count="55" uniqueCount="54">
  <si>
    <t xml:space="preserve"> Archetype                           </t>
  </si>
  <si>
    <t xml:space="preserve"> Technique </t>
  </si>
  <si>
    <t xml:space="preserve"> Timing </t>
  </si>
  <si>
    <t xml:space="preserve"> Footwork </t>
  </si>
  <si>
    <t xml:space="preserve"> Placement </t>
  </si>
  <si>
    <t xml:space="preserve"> Range360 </t>
  </si>
  <si>
    <t xml:space="preserve"> DefensiveShots </t>
  </si>
  <si>
    <t xml:space="preserve"> NeutralShots </t>
  </si>
  <si>
    <t xml:space="preserve"> AttackingShots </t>
  </si>
  <si>
    <t xml:space="preserve"> vsPace </t>
  </si>
  <si>
    <t xml:space="preserve"> vsSpin </t>
  </si>
  <si>
    <t xml:space="preserve"> Judgement </t>
  </si>
  <si>
    <t xml:space="preserve"> Strength </t>
  </si>
  <si>
    <t xml:space="preserve"> Speed </t>
  </si>
  <si>
    <t xml:space="preserve"> Aggression </t>
  </si>
  <si>
    <t>Sum</t>
  </si>
  <si>
    <t>Creativity</t>
  </si>
  <si>
    <t>Concentration</t>
  </si>
  <si>
    <t>Opener – Slogger</t>
  </si>
  <si>
    <t>Opener – Balanced</t>
  </si>
  <si>
    <t>Opener – Anchor</t>
  </si>
  <si>
    <t>Top Order – Slogger</t>
  </si>
  <si>
    <t>Top Order – Balanced</t>
  </si>
  <si>
    <t>Top Order – Anchor</t>
  </si>
  <si>
    <t>Middle Order – Slogger</t>
  </si>
  <si>
    <t>Middle Order – Balanced</t>
  </si>
  <si>
    <t>Middle Order – Anchor</t>
  </si>
  <si>
    <t>Lower Order – Slogger</t>
  </si>
  <si>
    <t>Lower Order – Balanced</t>
  </si>
  <si>
    <t>Lower Order – Anchor</t>
  </si>
  <si>
    <t>Finisher</t>
  </si>
  <si>
    <t>Runner</t>
  </si>
  <si>
    <t>Pinch-Hitter</t>
  </si>
  <si>
    <t xml:space="preserve"> Wall</t>
  </si>
  <si>
    <t xml:space="preserve"> Archetype / Attribute </t>
  </si>
  <si>
    <t xml:space="preserve"> Accuracy </t>
  </si>
  <si>
    <t xml:space="preserve"> Speed / Turn </t>
  </si>
  <si>
    <t xml:space="preserve"> Swing / Flight </t>
  </si>
  <si>
    <t xml:space="preserve"> Variations </t>
  </si>
  <si>
    <t xml:space="preserve"> Intelligence </t>
  </si>
  <si>
    <t xml:space="preserve"> DefensiveBowling </t>
  </si>
  <si>
    <t xml:space="preserve"> NeutralBowling </t>
  </si>
  <si>
    <t xml:space="preserve"> AttackingBowling </t>
  </si>
  <si>
    <t xml:space="preserve"> Stamina </t>
  </si>
  <si>
    <t xml:space="preserve"> Temperament </t>
  </si>
  <si>
    <t xml:space="preserve"> Row sum </t>
  </si>
  <si>
    <t xml:space="preserve"> Swing Bowler </t>
  </si>
  <si>
    <t xml:space="preserve"> Hit-the-Deck Seamer </t>
  </si>
  <si>
    <t xml:space="preserve"> Short-Ball Specialist </t>
  </si>
  <si>
    <t xml:space="preserve"> Death Specialist </t>
  </si>
  <si>
    <t xml:space="preserve"> Classical Spinner </t>
  </si>
  <si>
    <t xml:space="preserve"> Flat Spinner </t>
  </si>
  <si>
    <t xml:space="preserve"> Mystery Spinner </t>
  </si>
  <si>
    <t xml:space="preserve"> Containment Spinner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</si>
</sst>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C81ED-352E-47A1-B9CE-6EBA6673EF9E}" name="Table1" displayName="Table1" ref="A1:R18" totalsRowShown="0">
  <autoFilter ref="A1:R18" xr:uid="{C40C81ED-352E-47A1-B9CE-6EBA6673EF9E}"/>
  <tableColumns count="18">
    <tableColumn id="1" xr3:uid="{ABC5DCFC-BED3-42F8-8CE5-CC364A5BA072}" name=" Archetype                           "/>
    <tableColumn id="2" xr3:uid="{D01C9A21-D025-4C61-B6B3-907C8AD70BCC}" name=" Technique "/>
    <tableColumn id="3" xr3:uid="{E1CB2BE4-F5AB-4B4A-B0A5-207B6E832749}" name=" Timing "/>
    <tableColumn id="4" xr3:uid="{5126C256-8A27-4C05-9F77-9FC3FD5B5BC5}" name=" Footwork "/>
    <tableColumn id="5" xr3:uid="{126E08E8-2AE7-4F7A-9DF9-7777F3E0DD4C}" name=" Placement "/>
    <tableColumn id="6" xr3:uid="{89ABEF98-AB72-4B71-9A8C-2FC9B1D858FD}" name=" Range360 "/>
    <tableColumn id="7" xr3:uid="{411DC33D-C80A-48C7-9DA6-EFD30E743A14}" name=" DefensiveShots "/>
    <tableColumn id="8" xr3:uid="{A12E1B25-C858-4895-828D-B6CA0970D58F}" name=" NeutralShots "/>
    <tableColumn id="9" xr3:uid="{07CB7E7F-7166-4003-99A0-D023B59B3CFB}" name=" AttackingShots "/>
    <tableColumn id="10" xr3:uid="{FFB6E3DF-746C-40CB-899D-62D68F34A625}" name=" vsPace "/>
    <tableColumn id="11" xr3:uid="{378688DD-4E64-4ACC-AF2D-4203113B3EC0}" name=" vsSpin "/>
    <tableColumn id="12" xr3:uid="{378CDDB2-55EF-4A46-B207-E4FE5A1EA9F7}" name=" Judgement "/>
    <tableColumn id="13" xr3:uid="{DD64B45C-831F-4350-BFA3-6B10BBAC483A}" name=" Strength "/>
    <tableColumn id="14" xr3:uid="{F83BB586-8D57-4A51-845D-7346E8448E7A}" name=" Speed "/>
    <tableColumn id="15" xr3:uid="{7C0B5616-6B24-4342-BBC4-9A308011B4BE}" name=" Aggression "/>
    <tableColumn id="16" xr3:uid="{C9AD4D3D-D1CD-4459-8970-E312B7AFDA7C}" name="Creativity"/>
    <tableColumn id="17" xr3:uid="{08DC7A07-2837-4914-8005-AC365A876D9B}" name="Concentration"/>
    <tableColumn id="18" xr3:uid="{8DF0E39C-2D8C-47D2-BFF6-983F88B357AF}" name="Sum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7680A5-E91A-4AC0-A794-B7C9A57A55DF}" name="Table2" displayName="Table2" ref="A1:L10" totalsRowShown="0">
  <autoFilter ref="A1:L10" xr:uid="{537680A5-E91A-4AC0-A794-B7C9A57A55DF}"/>
  <tableColumns count="12">
    <tableColumn id="2" xr3:uid="{1D52B55D-D222-45E5-8F8F-DD1A89EBD4B4}" name=" Archetype / Attribute "/>
    <tableColumn id="3" xr3:uid="{3A437AAB-C274-4C15-8D5E-556C45774AC0}" name=" Accuracy "/>
    <tableColumn id="4" xr3:uid="{13FAE49B-2743-4A64-87B7-2911435ED506}" name=" Speed / Turn "/>
    <tableColumn id="5" xr3:uid="{088B086F-2494-483A-81B5-E1EAFE15854F}" name=" Swing / Flight "/>
    <tableColumn id="6" xr3:uid="{4EE59074-39EA-436D-B245-E62A77729D6E}" name=" Variations "/>
    <tableColumn id="7" xr3:uid="{1BCFDDCE-CBB1-4DCD-8C9C-1878986357A4}" name=" Intelligence "/>
    <tableColumn id="8" xr3:uid="{2C370F0F-7449-484A-9133-0AB2E2C69626}" name=" DefensiveBowling "/>
    <tableColumn id="9" xr3:uid="{B710A740-6ABA-40D8-8176-56557885BD9E}" name=" NeutralBowling "/>
    <tableColumn id="10" xr3:uid="{F324AA5E-EE9A-4B34-A673-D86DE18DBE27}" name=" AttackingBowling "/>
    <tableColumn id="12" xr3:uid="{781DA7B4-D468-4A20-964E-DAEC53F17FD7}" name=" Stamina "/>
    <tableColumn id="11" xr3:uid="{FDBBDFD3-0E18-4B0D-8C06-CCEA9679D4B7}" name=" Temperament ">
      <calculatedColumnFormula>SUM(Table2[[#This Row],[ Archetype / Attribute ]:[ Stamina ]])</calculatedColumnFormula>
    </tableColumn>
    <tableColumn id="13" xr3:uid="{A92A092C-08EC-4956-A41B-FF592FAFD314}" name=" Row sum ">
      <calculatedColumnFormula>SUM(Table2[[#This Row],[ Accuracy ]:[ Temperament 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807F-3ECB-40E1-8CA7-61ABB7237605}">
  <dimension ref="A1:R18"/>
  <sheetViews>
    <sheetView tabSelected="1" workbookViewId="0">
      <selection activeCell="P11" sqref="P11"/>
    </sheetView>
  </sheetViews>
  <sheetFormatPr defaultRowHeight="14.4" x14ac:dyDescent="0.3"/>
  <cols>
    <col min="1" max="1" width="23.88671875" customWidth="1"/>
    <col min="2" max="17" width="10.88671875" customWidth="1"/>
    <col min="18" max="18" width="6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15</v>
      </c>
    </row>
    <row r="2" spans="1:18" x14ac:dyDescent="0.3">
      <c r="A2" s="3" t="s">
        <v>18</v>
      </c>
      <c r="B2">
        <v>2</v>
      </c>
      <c r="C2">
        <v>2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>
        <v>2</v>
      </c>
      <c r="P2">
        <v>1</v>
      </c>
      <c r="Q2">
        <v>0</v>
      </c>
      <c r="R2">
        <f>SUM(B2:Q2)</f>
        <v>12</v>
      </c>
    </row>
    <row r="3" spans="1:18" x14ac:dyDescent="0.3">
      <c r="A3" s="3" t="s">
        <v>19</v>
      </c>
      <c r="B3">
        <v>2</v>
      </c>
      <c r="C3">
        <v>2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1</v>
      </c>
      <c r="R3">
        <f>SUM(B3:Q3)</f>
        <v>12</v>
      </c>
    </row>
    <row r="4" spans="1:18" x14ac:dyDescent="0.3">
      <c r="A4" s="3" t="s">
        <v>20</v>
      </c>
      <c r="B4">
        <v>2</v>
      </c>
      <c r="C4">
        <v>2</v>
      </c>
      <c r="D4">
        <v>2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1</v>
      </c>
      <c r="R4">
        <f>SUM(B4:Q4)</f>
        <v>12</v>
      </c>
    </row>
    <row r="5" spans="1:18" x14ac:dyDescent="0.3">
      <c r="A5" s="3" t="s">
        <v>21</v>
      </c>
      <c r="B5">
        <v>2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2</v>
      </c>
      <c r="J5">
        <v>1</v>
      </c>
      <c r="K5">
        <v>1</v>
      </c>
      <c r="L5">
        <v>0</v>
      </c>
      <c r="M5">
        <v>1</v>
      </c>
      <c r="N5">
        <v>0</v>
      </c>
      <c r="O5">
        <v>2</v>
      </c>
      <c r="P5">
        <v>1</v>
      </c>
      <c r="Q5">
        <v>0</v>
      </c>
      <c r="R5">
        <f>SUM(B5:Q5)</f>
        <v>12</v>
      </c>
    </row>
    <row r="6" spans="1:18" x14ac:dyDescent="0.3">
      <c r="A6" s="3" t="s">
        <v>22</v>
      </c>
      <c r="B6">
        <v>2</v>
      </c>
      <c r="C6">
        <v>1</v>
      </c>
      <c r="D6">
        <v>1</v>
      </c>
      <c r="E6">
        <v>0</v>
      </c>
      <c r="F6">
        <v>1</v>
      </c>
      <c r="G6">
        <v>0</v>
      </c>
      <c r="H6">
        <v>2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f t="shared" ref="R6:R17" si="0">SUM(B6:Q6)</f>
        <v>12</v>
      </c>
    </row>
    <row r="7" spans="1:18" x14ac:dyDescent="0.3">
      <c r="A7" s="3" t="s">
        <v>23</v>
      </c>
      <c r="B7">
        <v>2</v>
      </c>
      <c r="C7">
        <v>1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1</v>
      </c>
      <c r="L7">
        <v>2</v>
      </c>
      <c r="M7">
        <v>0</v>
      </c>
      <c r="N7">
        <v>1</v>
      </c>
      <c r="O7">
        <v>0</v>
      </c>
      <c r="P7">
        <v>0</v>
      </c>
      <c r="Q7">
        <v>1</v>
      </c>
      <c r="R7">
        <f t="shared" si="0"/>
        <v>12</v>
      </c>
    </row>
    <row r="8" spans="1:18" x14ac:dyDescent="0.3">
      <c r="A8" s="3" t="s">
        <v>24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2</v>
      </c>
      <c r="J8">
        <v>0</v>
      </c>
      <c r="K8">
        <v>2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f t="shared" si="0"/>
        <v>12</v>
      </c>
    </row>
    <row r="9" spans="1:18" x14ac:dyDescent="0.3">
      <c r="A9" s="3" t="s">
        <v>25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f t="shared" si="0"/>
        <v>12</v>
      </c>
    </row>
    <row r="10" spans="1:18" x14ac:dyDescent="0.3">
      <c r="A10" s="3" t="s">
        <v>26</v>
      </c>
      <c r="B10">
        <v>1</v>
      </c>
      <c r="C10">
        <v>1</v>
      </c>
      <c r="D10">
        <v>2</v>
      </c>
      <c r="E10">
        <v>0</v>
      </c>
      <c r="F10">
        <v>0</v>
      </c>
      <c r="G10">
        <v>2</v>
      </c>
      <c r="H10">
        <v>1</v>
      </c>
      <c r="I10">
        <v>0</v>
      </c>
      <c r="J10">
        <v>0</v>
      </c>
      <c r="K10">
        <v>1</v>
      </c>
      <c r="L10">
        <v>2</v>
      </c>
      <c r="M10">
        <v>0</v>
      </c>
      <c r="N10">
        <v>1</v>
      </c>
      <c r="O10">
        <v>0</v>
      </c>
      <c r="P10">
        <v>1</v>
      </c>
      <c r="Q10">
        <v>0</v>
      </c>
      <c r="R10">
        <f t="shared" si="0"/>
        <v>12</v>
      </c>
    </row>
    <row r="11" spans="1:18" x14ac:dyDescent="0.3">
      <c r="A11" s="3" t="s">
        <v>27</v>
      </c>
      <c r="B11">
        <v>0</v>
      </c>
      <c r="C11">
        <v>1</v>
      </c>
      <c r="D11">
        <v>0</v>
      </c>
      <c r="E11">
        <v>1</v>
      </c>
      <c r="F11">
        <v>2</v>
      </c>
      <c r="G11">
        <v>0</v>
      </c>
      <c r="H11">
        <v>1</v>
      </c>
      <c r="I11">
        <v>2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f t="shared" si="0"/>
        <v>12</v>
      </c>
    </row>
    <row r="12" spans="1:18" x14ac:dyDescent="0.3">
      <c r="A12" s="3" t="s">
        <v>28</v>
      </c>
      <c r="B12">
        <v>0</v>
      </c>
      <c r="C12">
        <v>1</v>
      </c>
      <c r="D12">
        <v>1</v>
      </c>
      <c r="E12">
        <v>2</v>
      </c>
      <c r="F12">
        <v>1</v>
      </c>
      <c r="G12">
        <v>0</v>
      </c>
      <c r="H12">
        <v>2</v>
      </c>
      <c r="I12">
        <v>1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f t="shared" si="0"/>
        <v>12</v>
      </c>
    </row>
    <row r="13" spans="1:18" x14ac:dyDescent="0.3">
      <c r="A13" s="3" t="s">
        <v>29</v>
      </c>
      <c r="B13">
        <v>0</v>
      </c>
      <c r="C13">
        <v>1</v>
      </c>
      <c r="D13">
        <v>2</v>
      </c>
      <c r="E13">
        <v>1</v>
      </c>
      <c r="F13">
        <v>1</v>
      </c>
      <c r="G13">
        <v>2</v>
      </c>
      <c r="H13">
        <v>1</v>
      </c>
      <c r="I13">
        <v>0</v>
      </c>
      <c r="J13">
        <v>0</v>
      </c>
      <c r="K13">
        <v>0</v>
      </c>
      <c r="L13">
        <v>2</v>
      </c>
      <c r="M13">
        <v>0</v>
      </c>
      <c r="N13">
        <v>1</v>
      </c>
      <c r="O13">
        <v>0</v>
      </c>
      <c r="P13">
        <v>0</v>
      </c>
      <c r="Q13">
        <v>1</v>
      </c>
      <c r="R13">
        <f t="shared" si="0"/>
        <v>12</v>
      </c>
    </row>
    <row r="14" spans="1:18" x14ac:dyDescent="0.3">
      <c r="A14" s="3" t="s">
        <v>30</v>
      </c>
      <c r="B14">
        <v>0</v>
      </c>
      <c r="C14">
        <v>0</v>
      </c>
      <c r="D14">
        <v>0</v>
      </c>
      <c r="E14">
        <v>1</v>
      </c>
      <c r="F14">
        <v>2</v>
      </c>
      <c r="G14">
        <v>0</v>
      </c>
      <c r="H14">
        <v>0</v>
      </c>
      <c r="I14">
        <v>1</v>
      </c>
      <c r="J14">
        <v>2</v>
      </c>
      <c r="K14">
        <v>0</v>
      </c>
      <c r="L14">
        <v>1</v>
      </c>
      <c r="M14">
        <v>0</v>
      </c>
      <c r="N14">
        <v>0</v>
      </c>
      <c r="O14">
        <v>1</v>
      </c>
      <c r="P14">
        <v>2</v>
      </c>
      <c r="Q14">
        <v>2</v>
      </c>
      <c r="R14">
        <f t="shared" si="0"/>
        <v>12</v>
      </c>
    </row>
    <row r="15" spans="1:18" x14ac:dyDescent="0.3">
      <c r="A15" s="3" t="s">
        <v>31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2</v>
      </c>
      <c r="I15">
        <v>0</v>
      </c>
      <c r="J15">
        <v>1</v>
      </c>
      <c r="K15">
        <v>1</v>
      </c>
      <c r="L15">
        <v>0</v>
      </c>
      <c r="M15">
        <v>2</v>
      </c>
      <c r="N15">
        <v>2</v>
      </c>
      <c r="O15">
        <v>0</v>
      </c>
      <c r="P15">
        <v>0</v>
      </c>
      <c r="Q15">
        <v>2</v>
      </c>
      <c r="R15">
        <f t="shared" si="0"/>
        <v>12</v>
      </c>
    </row>
    <row r="16" spans="1:18" x14ac:dyDescent="0.3">
      <c r="A16" s="3" t="s">
        <v>32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2</v>
      </c>
      <c r="J16">
        <v>2</v>
      </c>
      <c r="K16">
        <v>2</v>
      </c>
      <c r="L16">
        <v>0</v>
      </c>
      <c r="M16">
        <v>2</v>
      </c>
      <c r="N16">
        <v>0</v>
      </c>
      <c r="O16">
        <v>2</v>
      </c>
      <c r="P16">
        <v>0</v>
      </c>
      <c r="Q16">
        <v>0</v>
      </c>
      <c r="R16">
        <f t="shared" si="0"/>
        <v>12</v>
      </c>
    </row>
    <row r="17" spans="1:18" x14ac:dyDescent="0.3">
      <c r="A17" s="3" t="s">
        <v>33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1</v>
      </c>
      <c r="I17">
        <v>0</v>
      </c>
      <c r="J17">
        <v>2</v>
      </c>
      <c r="K17">
        <v>2</v>
      </c>
      <c r="L17">
        <v>2</v>
      </c>
      <c r="M17">
        <v>0</v>
      </c>
      <c r="N17">
        <v>1</v>
      </c>
      <c r="O17">
        <v>0</v>
      </c>
      <c r="P17">
        <v>0</v>
      </c>
      <c r="Q17">
        <v>2</v>
      </c>
      <c r="R17">
        <f t="shared" si="0"/>
        <v>12</v>
      </c>
    </row>
    <row r="18" spans="1:18" x14ac:dyDescent="0.3">
      <c r="A18" t="s">
        <v>15</v>
      </c>
      <c r="B18">
        <f>SUM(B2:B17)</f>
        <v>15</v>
      </c>
      <c r="C18">
        <f t="shared" ref="C18:R18" si="1">SUM(C2:C17)</f>
        <v>15</v>
      </c>
      <c r="D18">
        <f t="shared" si="1"/>
        <v>12</v>
      </c>
      <c r="E18">
        <f t="shared" si="1"/>
        <v>10</v>
      </c>
      <c r="F18">
        <f t="shared" si="1"/>
        <v>11</v>
      </c>
      <c r="G18">
        <f t="shared" si="1"/>
        <v>11</v>
      </c>
      <c r="H18">
        <f t="shared" si="1"/>
        <v>13</v>
      </c>
      <c r="I18">
        <f t="shared" si="1"/>
        <v>12</v>
      </c>
      <c r="J18">
        <f t="shared" si="1"/>
        <v>15</v>
      </c>
      <c r="K18">
        <f t="shared" si="1"/>
        <v>15</v>
      </c>
      <c r="L18">
        <f t="shared" si="1"/>
        <v>15</v>
      </c>
      <c r="M18">
        <f t="shared" si="1"/>
        <v>9</v>
      </c>
      <c r="N18">
        <f t="shared" si="1"/>
        <v>8</v>
      </c>
      <c r="O18">
        <f t="shared" si="1"/>
        <v>11</v>
      </c>
      <c r="P18">
        <f t="shared" si="1"/>
        <v>8</v>
      </c>
      <c r="Q18">
        <f t="shared" si="1"/>
        <v>12</v>
      </c>
      <c r="R18">
        <f t="shared" si="1"/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F26A-AFED-41A3-86BC-81F8F1C279ED}">
  <dimension ref="A1:L10"/>
  <sheetViews>
    <sheetView workbookViewId="0">
      <selection activeCell="B13" sqref="B13"/>
    </sheetView>
  </sheetViews>
  <sheetFormatPr defaultRowHeight="14.4" x14ac:dyDescent="0.3"/>
  <cols>
    <col min="1" max="1" width="27" customWidth="1"/>
    <col min="2" max="2" width="12.6640625" customWidth="1"/>
    <col min="3" max="3" width="14" customWidth="1"/>
    <col min="4" max="4" width="12" customWidth="1"/>
    <col min="5" max="5" width="13.109375" customWidth="1"/>
    <col min="6" max="6" width="14.77734375" customWidth="1"/>
    <col min="7" max="7" width="12.44140625" customWidth="1"/>
    <col min="8" max="8" width="9.77734375" customWidth="1"/>
    <col min="9" max="10" width="10.33203125" customWidth="1"/>
  </cols>
  <sheetData>
    <row r="1" spans="1:12" ht="43.2" x14ac:dyDescent="0.3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t="s">
        <v>45</v>
      </c>
    </row>
    <row r="2" spans="1:12" x14ac:dyDescent="0.3">
      <c r="A2" s="1" t="s">
        <v>46</v>
      </c>
      <c r="B2" s="1">
        <v>0</v>
      </c>
      <c r="C2" s="1">
        <v>2</v>
      </c>
      <c r="D2" s="1">
        <v>2</v>
      </c>
      <c r="E2" s="1">
        <v>1</v>
      </c>
      <c r="F2" s="1">
        <v>1</v>
      </c>
      <c r="G2" s="1">
        <v>0</v>
      </c>
      <c r="H2" s="1">
        <v>1</v>
      </c>
      <c r="I2" s="1">
        <v>1</v>
      </c>
      <c r="J2" s="1">
        <v>1</v>
      </c>
      <c r="K2" s="2">
        <v>1</v>
      </c>
      <c r="L2">
        <f>SUM(Table2[[#This Row],[ Accuracy ]:[ Temperament ]])</f>
        <v>10</v>
      </c>
    </row>
    <row r="3" spans="1:12" x14ac:dyDescent="0.3">
      <c r="A3" s="1" t="s">
        <v>47</v>
      </c>
      <c r="B3" s="1">
        <v>1</v>
      </c>
      <c r="C3" s="1">
        <v>2</v>
      </c>
      <c r="D3" s="1">
        <v>1</v>
      </c>
      <c r="E3" s="1">
        <v>1</v>
      </c>
      <c r="F3" s="1">
        <v>0</v>
      </c>
      <c r="G3" s="1">
        <v>0</v>
      </c>
      <c r="H3" s="1">
        <v>2</v>
      </c>
      <c r="I3" s="1">
        <v>1</v>
      </c>
      <c r="J3" s="1">
        <v>2</v>
      </c>
      <c r="K3" s="2">
        <v>0</v>
      </c>
      <c r="L3">
        <f>SUM(Table2[[#This Row],[ Accuracy ]:[ Temperament ]])</f>
        <v>10</v>
      </c>
    </row>
    <row r="4" spans="1:12" x14ac:dyDescent="0.3">
      <c r="A4" s="1" t="s">
        <v>48</v>
      </c>
      <c r="B4" s="1">
        <v>1</v>
      </c>
      <c r="C4" s="1">
        <v>2</v>
      </c>
      <c r="D4" s="1">
        <v>0</v>
      </c>
      <c r="E4" s="1">
        <v>0</v>
      </c>
      <c r="F4" s="1">
        <v>0</v>
      </c>
      <c r="G4" s="1">
        <v>2</v>
      </c>
      <c r="H4" s="1">
        <v>0</v>
      </c>
      <c r="I4" s="1">
        <v>2</v>
      </c>
      <c r="J4" s="1">
        <v>2</v>
      </c>
      <c r="K4" s="2">
        <v>1</v>
      </c>
      <c r="L4">
        <f>SUM(Table2[[#This Row],[ Accuracy ]:[ Temperament ]])</f>
        <v>10</v>
      </c>
    </row>
    <row r="5" spans="1:12" x14ac:dyDescent="0.3">
      <c r="A5" s="1" t="s">
        <v>49</v>
      </c>
      <c r="B5" s="1">
        <v>2</v>
      </c>
      <c r="C5" s="1">
        <v>0</v>
      </c>
      <c r="D5" s="1">
        <v>0</v>
      </c>
      <c r="E5" s="1">
        <v>2</v>
      </c>
      <c r="F5" s="1">
        <v>2</v>
      </c>
      <c r="G5" s="1">
        <v>1</v>
      </c>
      <c r="H5" s="1">
        <v>0</v>
      </c>
      <c r="I5" s="1">
        <v>1</v>
      </c>
      <c r="J5" s="1">
        <v>0</v>
      </c>
      <c r="K5" s="2">
        <v>2</v>
      </c>
      <c r="L5">
        <f>SUM(Table2[[#This Row],[ Accuracy ]:[ Temperament ]])</f>
        <v>10</v>
      </c>
    </row>
    <row r="6" spans="1:12" x14ac:dyDescent="0.3">
      <c r="A6" s="1" t="s">
        <v>50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1</v>
      </c>
      <c r="J6" s="1">
        <v>0</v>
      </c>
      <c r="K6" s="2">
        <v>1</v>
      </c>
      <c r="L6">
        <f>SUM(Table2[[#This Row],[ Accuracy ]:[ Temperament ]])</f>
        <v>10</v>
      </c>
    </row>
    <row r="7" spans="1:12" x14ac:dyDescent="0.3">
      <c r="A7" s="1" t="s">
        <v>51</v>
      </c>
      <c r="B7" s="1">
        <v>1</v>
      </c>
      <c r="C7" s="1">
        <v>0</v>
      </c>
      <c r="D7" s="1">
        <v>2</v>
      </c>
      <c r="E7" s="1">
        <v>1</v>
      </c>
      <c r="F7" s="1">
        <v>0</v>
      </c>
      <c r="G7" s="1">
        <v>2</v>
      </c>
      <c r="H7" s="1">
        <v>1</v>
      </c>
      <c r="I7" s="1">
        <v>0</v>
      </c>
      <c r="J7" s="1">
        <v>2</v>
      </c>
      <c r="K7" s="2">
        <v>1</v>
      </c>
      <c r="L7">
        <f>SUM(Table2[[#This Row],[ Accuracy ]:[ Temperament ]])</f>
        <v>10</v>
      </c>
    </row>
    <row r="8" spans="1:12" x14ac:dyDescent="0.3">
      <c r="A8" s="1" t="s">
        <v>52</v>
      </c>
      <c r="B8" s="1">
        <v>0</v>
      </c>
      <c r="C8" s="1">
        <v>1</v>
      </c>
      <c r="D8" s="1">
        <v>1</v>
      </c>
      <c r="E8" s="1">
        <v>2</v>
      </c>
      <c r="F8" s="1">
        <v>2</v>
      </c>
      <c r="G8" s="1">
        <v>0</v>
      </c>
      <c r="H8" s="1">
        <v>1</v>
      </c>
      <c r="I8" s="1">
        <v>2</v>
      </c>
      <c r="J8" s="1">
        <v>0</v>
      </c>
      <c r="K8" s="2">
        <v>1</v>
      </c>
      <c r="L8">
        <f>SUM(Table2[[#This Row],[ Accuracy ]:[ Temperament ]])</f>
        <v>10</v>
      </c>
    </row>
    <row r="9" spans="1:12" x14ac:dyDescent="0.3">
      <c r="A9" s="1" t="s">
        <v>53</v>
      </c>
      <c r="B9" s="1">
        <v>2</v>
      </c>
      <c r="C9" s="1">
        <v>0</v>
      </c>
      <c r="D9" s="1">
        <v>1</v>
      </c>
      <c r="E9" s="1">
        <v>0</v>
      </c>
      <c r="F9" s="1">
        <v>2</v>
      </c>
      <c r="G9" s="1">
        <v>2</v>
      </c>
      <c r="H9" s="1">
        <v>1</v>
      </c>
      <c r="I9" s="1">
        <v>0</v>
      </c>
      <c r="J9" s="1">
        <v>1</v>
      </c>
      <c r="K9" s="2">
        <v>1</v>
      </c>
      <c r="L9">
        <f>SUM(Table2[[#This Row],[ Accuracy ]:[ Temperament ]])</f>
        <v>10</v>
      </c>
    </row>
    <row r="10" spans="1:12" x14ac:dyDescent="0.3">
      <c r="A10" s="2"/>
      <c r="B10" s="2">
        <f t="shared" ref="B10:K10" si="0">SUM(B2:B9)</f>
        <v>8</v>
      </c>
      <c r="C10" s="2">
        <f t="shared" si="0"/>
        <v>8</v>
      </c>
      <c r="D10" s="2">
        <f t="shared" si="0"/>
        <v>8</v>
      </c>
      <c r="E10" s="2">
        <f t="shared" si="0"/>
        <v>8</v>
      </c>
      <c r="F10" s="2">
        <f t="shared" si="0"/>
        <v>8</v>
      </c>
      <c r="G10" s="2">
        <f t="shared" si="0"/>
        <v>8</v>
      </c>
      <c r="H10" s="2">
        <f t="shared" si="0"/>
        <v>8</v>
      </c>
      <c r="I10" s="2">
        <f t="shared" si="0"/>
        <v>8</v>
      </c>
      <c r="J10" s="2">
        <f t="shared" si="0"/>
        <v>8</v>
      </c>
      <c r="K10" s="2">
        <f t="shared" si="0"/>
        <v>8</v>
      </c>
      <c r="L10">
        <f>SUM(Table2[[#This Row],[ Accuracy ]:[ Temperament ]])</f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Prahalad Vathsan</dc:creator>
  <cp:lastModifiedBy>Prahalad Vathsan</cp:lastModifiedBy>
  <dcterms:created xsi:type="dcterms:W3CDTF">2025-09-21T14:05:03Z</dcterms:created>
  <dcterms:modified xsi:type="dcterms:W3CDTF">2025-10-15T14:00:31Z</dcterms:modified>
</cp:coreProperties>
</file>